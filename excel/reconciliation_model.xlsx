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d5e4abb1a3fe840/Desktop/GitHub projects/"/>
    </mc:Choice>
  </mc:AlternateContent>
  <xr:revisionPtr revIDLastSave="44" documentId="8_{A5F63687-2B30-4997-AF28-AC106937F2AD}" xr6:coauthVersionLast="47" xr6:coauthVersionMax="47" xr10:uidLastSave="{78A3DF9C-02D4-4482-84BE-8538B7D6C035}"/>
  <bookViews>
    <workbookView xWindow="-108" yWindow="-108" windowWidth="23256" windowHeight="13896" xr2:uid="{F879E748-05D4-4EBB-84EC-7732289CCA82}"/>
  </bookViews>
  <sheets>
    <sheet name="Pivot" sheetId="5" r:id="rId1"/>
    <sheet name="Reconciliation" sheetId="1" r:id="rId2"/>
    <sheet name="Expiration" sheetId="2" r:id="rId3"/>
    <sheet name="Assignments" sheetId="3" r:id="rId4"/>
  </sheets>
  <calcPr calcId="191029"/>
  <pivotCaches>
    <pivotCache cacheId="3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<sst xmlns="http://schemas.openxmlformats.org/spreadsheetml/2006/main" count="44" uniqueCount="25">
  <si>
    <t>option_id</t>
  </si>
  <si>
    <t>account_id</t>
  </si>
  <si>
    <t>expected_qty</t>
  </si>
  <si>
    <t>actual_qty</t>
  </si>
  <si>
    <t>break_amount</t>
  </si>
  <si>
    <t>OP001</t>
  </si>
  <si>
    <t>ACCT1001</t>
  </si>
  <si>
    <t>OP002</t>
  </si>
  <si>
    <t>OP003</t>
  </si>
  <si>
    <t>ACCT2002</t>
  </si>
  <si>
    <t>OP004</t>
  </si>
  <si>
    <t>ACCT3003</t>
  </si>
  <si>
    <t>OP005</t>
  </si>
  <si>
    <t>ACCT4004</t>
  </si>
  <si>
    <t>expiry_date</t>
  </si>
  <si>
    <t>status</t>
  </si>
  <si>
    <t>EXPIRED</t>
  </si>
  <si>
    <t>ACTIVE</t>
  </si>
  <si>
    <t>assigned_to</t>
  </si>
  <si>
    <t>quantity</t>
  </si>
  <si>
    <t>Row Labels</t>
  </si>
  <si>
    <t>Grand Total</t>
  </si>
  <si>
    <t>Sum of expected_qty</t>
  </si>
  <si>
    <t>Sum of actual_qty</t>
  </si>
  <si>
    <t>Sum of break_amount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</si>
</sst>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3">
    <dxf>
      <numFmt numFmtId="1" formatCode="0"/>
    </dxf>
    <dxf>
      <numFmt numFmtId="19" formatCode="yyyy/mm/dd"/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ndie Dunwoody" refreshedDate="46287.471624189813" createdVersion="8" refreshedVersion="8" minRefreshableVersion="3" recordCount="5" xr:uid="{57B78F65-D29C-45A7-8C4A-5ED8BB9AC2FF}">
  <cacheSource type="worksheet">
    <worksheetSource name="ReconciliationTable"/>
  </cacheSource>
  <cacheFields count="5">
    <cacheField name="option_id" numFmtId="0">
      <sharedItems/>
    </cacheField>
    <cacheField name="account_id" numFmtId="0">
      <sharedItems count="4">
        <s v="ACCT1001"/>
        <s v="ACCT2002"/>
        <s v="ACCT3003"/>
        <s v="ACCT4004"/>
      </sharedItems>
    </cacheField>
    <cacheField name="expected_qty" numFmtId="1">
      <sharedItems containsSemiMixedTypes="0" containsString="0" containsNumber="1" containsInteger="1" minValue="5" maxValue="20"/>
    </cacheField>
    <cacheField name="actual_qty" numFmtId="1">
      <sharedItems containsSemiMixedTypes="0" containsString="0" containsNumber="1" containsInteger="1" minValue="3" maxValue="25"/>
    </cacheField>
    <cacheField name="break_amount" numFmtId="1">
      <sharedItems containsSemiMixedTypes="0" containsString="0" containsNumber="1" containsInteger="1" minValue="-2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s v="OP001"/>
    <x v="0"/>
    <n v="10"/>
    <n v="10"/>
    <n v="0"/>
  </r>
  <r>
    <s v="OP002"/>
    <x v="0"/>
    <n v="5"/>
    <n v="3"/>
    <n v="-2"/>
  </r>
  <r>
    <s v="OP003"/>
    <x v="1"/>
    <n v="12"/>
    <n v="12"/>
    <n v="0"/>
  </r>
  <r>
    <s v="OP004"/>
    <x v="2"/>
    <n v="20"/>
    <n v="25"/>
    <n v="5"/>
  </r>
  <r>
    <s v="OP005"/>
    <x v="3"/>
    <n v="7"/>
    <n v="7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2228A7-8829-4407-AF01-49EFED21FFC3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8" firstHeaderRow="0" firstDataRow="1" firstDataCol="1"/>
  <pivotFields count="5">
    <pivotField showAll="0"/>
    <pivotField axis="axisRow" showAll="0">
      <items count="5">
        <item x="0"/>
        <item x="1"/>
        <item x="2"/>
        <item x="3"/>
        <item t="default"/>
      </items>
    </pivotField>
    <pivotField dataField="1" numFmtId="1" showAll="0"/>
    <pivotField dataField="1" numFmtId="1" showAll="0"/>
    <pivotField dataField="1" numFmtId="1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expected_qty" fld="2" baseField="0" baseItem="0" numFmtId="1"/>
    <dataField name="Sum of actual_qty" fld="3" baseField="0" baseItem="0" numFmtId="1"/>
    <dataField name="Sum of break_amount" fld="4" baseField="0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1957DBD-B9B9-40AD-A12D-E7E690E24D48}" name="ReconciliationTable" displayName="ReconciliationTable" ref="A1:E6" totalsRowShown="0" headerRowDxfId="2">
  <autoFilter ref="A1:E6" xr:uid="{91957DBD-B9B9-40AD-A12D-E7E690E24D48}"/>
  <tableColumns count="5">
    <tableColumn id="1" xr3:uid="{553777CE-B9B6-4A6B-94A1-4E5021F9F4F9}" name="option_id"/>
    <tableColumn id="2" xr3:uid="{CAC30F43-1706-4470-9E1E-097CF4032C6D}" name="account_id"/>
    <tableColumn id="3" xr3:uid="{0C7BADEA-35F4-4000-8925-68A640EA81ED}" name="expected_qty"/>
    <tableColumn id="4" xr3:uid="{33D08855-8A0A-4B05-92D2-86A9C405E48C}" name="actual_qty"/>
    <tableColumn id="5" xr3:uid="{F8C30EA9-82D7-47D5-B141-1B6D590C6987}" name="break_amou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D9BFDD5-AEC0-44BD-86D8-37FEDDD237A1}" name="OptionExpirationTable" displayName="OptionExpirationTable" ref="A1:C6" totalsRowShown="0">
  <autoFilter ref="A1:C6" xr:uid="{4D9BFDD5-AEC0-44BD-86D8-37FEDDD237A1}"/>
  <tableColumns count="3">
    <tableColumn id="1" xr3:uid="{9F7C553E-D656-42F6-84C8-06CCF47F98BF}" name="option_id"/>
    <tableColumn id="2" xr3:uid="{40C9C62C-CB8E-4D86-88B9-77F96E4C739E}" name="expiry_date" dataDxfId="1"/>
    <tableColumn id="3" xr3:uid="{DBFCB504-A235-442B-B7D1-67FBE879CDAF}" name="statu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B206DEA-E7C1-450F-A271-98136FDB01AA}" name="AssignmentsTable" displayName="AssignmentsTable" ref="A1:C3" totalsRowShown="0">
  <autoFilter ref="A1:C3" xr:uid="{8B206DEA-E7C1-450F-A271-98136FDB01AA}"/>
  <tableColumns count="3">
    <tableColumn id="1" xr3:uid="{732F68F4-AA7E-4751-9F3E-B78C00DE506E}" name="option_id"/>
    <tableColumn id="2" xr3:uid="{D4A698F0-E196-457E-9957-02A2AEEB3002}" name="assigned_to"/>
    <tableColumn id="3" xr3:uid="{AE9C5AD7-BC5E-4D45-BDA7-85CF31ECBA25}" name="quantit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6C043-FB9A-4A36-B734-6EC8B284726A}">
  <dimension ref="A3:D8"/>
  <sheetViews>
    <sheetView tabSelected="1" workbookViewId="0">
      <selection activeCell="D17" sqref="D17"/>
    </sheetView>
  </sheetViews>
  <sheetFormatPr defaultRowHeight="14.4" x14ac:dyDescent="0.3"/>
  <cols>
    <col min="1" max="1" width="12.44140625" bestFit="1" customWidth="1"/>
    <col min="2" max="2" width="18.44140625" bestFit="1" customWidth="1"/>
    <col min="3" max="3" width="15.77734375" bestFit="1" customWidth="1"/>
    <col min="4" max="4" width="19.109375" bestFit="1" customWidth="1"/>
  </cols>
  <sheetData>
    <row r="3" spans="1:4" x14ac:dyDescent="0.3">
      <c r="A3" s="4" t="s">
        <v>20</v>
      </c>
      <c r="B3" t="s">
        <v>22</v>
      </c>
      <c r="C3" t="s">
        <v>23</v>
      </c>
      <c r="D3" t="s">
        <v>24</v>
      </c>
    </row>
    <row r="4" spans="1:4" x14ac:dyDescent="0.3">
      <c r="A4" s="5" t="s">
        <v>6</v>
      </c>
      <c r="B4" s="2">
        <v>15</v>
      </c>
      <c r="C4" s="2">
        <v>13</v>
      </c>
      <c r="D4" s="2">
        <v>-2</v>
      </c>
    </row>
    <row r="5" spans="1:4" x14ac:dyDescent="0.3">
      <c r="A5" s="5" t="s">
        <v>9</v>
      </c>
      <c r="B5" s="2">
        <v>12</v>
      </c>
      <c r="C5" s="2">
        <v>12</v>
      </c>
      <c r="D5" s="2">
        <v>0</v>
      </c>
    </row>
    <row r="6" spans="1:4" x14ac:dyDescent="0.3">
      <c r="A6" s="5" t="s">
        <v>11</v>
      </c>
      <c r="B6" s="2">
        <v>20</v>
      </c>
      <c r="C6" s="2">
        <v>25</v>
      </c>
      <c r="D6" s="2">
        <v>5</v>
      </c>
    </row>
    <row r="7" spans="1:4" x14ac:dyDescent="0.3">
      <c r="A7" s="5" t="s">
        <v>13</v>
      </c>
      <c r="B7" s="2">
        <v>7</v>
      </c>
      <c r="C7" s="2">
        <v>7</v>
      </c>
      <c r="D7" s="2">
        <v>0</v>
      </c>
    </row>
    <row r="8" spans="1:4" x14ac:dyDescent="0.3">
      <c r="A8" s="5" t="s">
        <v>21</v>
      </c>
      <c r="B8" s="2">
        <v>54</v>
      </c>
      <c r="C8" s="2">
        <v>57</v>
      </c>
      <c r="D8" s="2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478BB-BDDB-49EC-868E-D4BCE78AD98A}">
  <dimension ref="A1:E6"/>
  <sheetViews>
    <sheetView workbookViewId="0">
      <selection sqref="A1:E6"/>
    </sheetView>
  </sheetViews>
  <sheetFormatPr defaultRowHeight="14.4" x14ac:dyDescent="0.3"/>
  <cols>
    <col min="1" max="1" width="11" bestFit="1" customWidth="1"/>
    <col min="2" max="2" width="12.33203125" bestFit="1" customWidth="1"/>
    <col min="3" max="3" width="14.44140625" bestFit="1" customWidth="1"/>
    <col min="4" max="4" width="11.88671875" bestFit="1" customWidth="1"/>
    <col min="5" max="5" width="15.1093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s="2">
        <v>10</v>
      </c>
      <c r="D2" s="2">
        <v>10</v>
      </c>
      <c r="E2" s="2">
        <v>0</v>
      </c>
    </row>
    <row r="3" spans="1:5" x14ac:dyDescent="0.3">
      <c r="A3" t="s">
        <v>7</v>
      </c>
      <c r="B3" t="s">
        <v>6</v>
      </c>
      <c r="C3" s="2">
        <v>5</v>
      </c>
      <c r="D3" s="2">
        <v>3</v>
      </c>
      <c r="E3" s="2">
        <v>-2</v>
      </c>
    </row>
    <row r="4" spans="1:5" x14ac:dyDescent="0.3">
      <c r="A4" t="s">
        <v>8</v>
      </c>
      <c r="B4" t="s">
        <v>9</v>
      </c>
      <c r="C4" s="2">
        <v>12</v>
      </c>
      <c r="D4" s="2">
        <v>12</v>
      </c>
      <c r="E4" s="2">
        <v>0</v>
      </c>
    </row>
    <row r="5" spans="1:5" x14ac:dyDescent="0.3">
      <c r="A5" t="s">
        <v>10</v>
      </c>
      <c r="B5" t="s">
        <v>11</v>
      </c>
      <c r="C5" s="2">
        <v>20</v>
      </c>
      <c r="D5" s="2">
        <v>25</v>
      </c>
      <c r="E5" s="2">
        <v>5</v>
      </c>
    </row>
    <row r="6" spans="1:5" x14ac:dyDescent="0.3">
      <c r="A6" t="s">
        <v>12</v>
      </c>
      <c r="B6" t="s">
        <v>13</v>
      </c>
      <c r="C6" s="2">
        <v>7</v>
      </c>
      <c r="D6" s="2">
        <v>7</v>
      </c>
      <c r="E6" s="2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842D6-C673-48FF-AB4D-59AC922E1010}">
  <dimension ref="A1:C6"/>
  <sheetViews>
    <sheetView workbookViewId="0"/>
  </sheetViews>
  <sheetFormatPr defaultRowHeight="14.4" x14ac:dyDescent="0.3"/>
  <cols>
    <col min="1" max="1" width="11" bestFit="1" customWidth="1"/>
    <col min="2" max="2" width="12.88671875" bestFit="1" customWidth="1"/>
    <col min="3" max="3" width="8.33203125" bestFit="1" customWidth="1"/>
  </cols>
  <sheetData>
    <row r="1" spans="1:3" x14ac:dyDescent="0.3">
      <c r="A1" t="s">
        <v>0</v>
      </c>
      <c r="B1" t="s">
        <v>14</v>
      </c>
      <c r="C1" t="s">
        <v>15</v>
      </c>
    </row>
    <row r="2" spans="1:3" x14ac:dyDescent="0.3">
      <c r="A2" t="s">
        <v>5</v>
      </c>
      <c r="B2" s="3">
        <v>45555</v>
      </c>
      <c r="C2" t="s">
        <v>16</v>
      </c>
    </row>
    <row r="3" spans="1:3" x14ac:dyDescent="0.3">
      <c r="A3" t="s">
        <v>7</v>
      </c>
      <c r="B3" s="3">
        <v>45555</v>
      </c>
      <c r="C3" t="s">
        <v>16</v>
      </c>
    </row>
    <row r="4" spans="1:3" x14ac:dyDescent="0.3">
      <c r="A4" t="s">
        <v>8</v>
      </c>
      <c r="B4" s="3">
        <v>45555</v>
      </c>
      <c r="C4" t="s">
        <v>17</v>
      </c>
    </row>
    <row r="5" spans="1:3" x14ac:dyDescent="0.3">
      <c r="A5" t="s">
        <v>10</v>
      </c>
      <c r="B5" s="3">
        <v>45555</v>
      </c>
      <c r="C5" t="s">
        <v>16</v>
      </c>
    </row>
    <row r="6" spans="1:3" x14ac:dyDescent="0.3">
      <c r="A6" t="s">
        <v>12</v>
      </c>
      <c r="B6" s="3">
        <v>45555</v>
      </c>
      <c r="C6" t="s">
        <v>17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A9565-93D6-4866-BB5C-98C6930F5A71}">
  <dimension ref="A1:C3"/>
  <sheetViews>
    <sheetView workbookViewId="0"/>
  </sheetViews>
  <sheetFormatPr defaultRowHeight="14.4" x14ac:dyDescent="0.3"/>
  <cols>
    <col min="1" max="1" width="11" bestFit="1" customWidth="1"/>
    <col min="2" max="2" width="13" bestFit="1" customWidth="1"/>
    <col min="3" max="3" width="10.109375" bestFit="1" customWidth="1"/>
  </cols>
  <sheetData>
    <row r="1" spans="1:3" x14ac:dyDescent="0.3">
      <c r="A1" t="s">
        <v>0</v>
      </c>
      <c r="B1" t="s">
        <v>18</v>
      </c>
      <c r="C1" t="s">
        <v>19</v>
      </c>
    </row>
    <row r="2" spans="1:3" x14ac:dyDescent="0.3">
      <c r="A2" t="s">
        <v>7</v>
      </c>
      <c r="B2" t="s">
        <v>6</v>
      </c>
      <c r="C2" s="2">
        <v>2</v>
      </c>
    </row>
    <row r="3" spans="1:3" x14ac:dyDescent="0.3">
      <c r="A3" t="s">
        <v>10</v>
      </c>
      <c r="B3" t="s">
        <v>11</v>
      </c>
      <c r="C3" s="2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Pivot</vt:lpstr>
      <vt:lpstr>Reconciliation</vt:lpstr>
      <vt:lpstr>Expiration</vt:lpstr>
      <vt:lpstr>Assignments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Mandie Dunwoody</dc:creator>
  <cp:lastModifiedBy>Mandie Dunwoody</cp:lastModifiedBy>
  <dcterms:created xsi:type="dcterms:W3CDTF">2026-09-22T15:09:29Z</dcterms:created>
  <dcterms:modified xsi:type="dcterms:W3CDTF">2026-09-22T15:23:26Z</dcterms:modified>
</cp:coreProperties>
</file>